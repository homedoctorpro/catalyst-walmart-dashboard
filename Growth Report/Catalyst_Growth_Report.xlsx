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 Growth" sheetId="1" state="visible" r:id="rId1"/>
    <sheet xmlns:r="http://schemas.openxmlformats.org/officeDocument/2006/relationships" name="Walmart 15O 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+0%"/>
    <numFmt numFmtId="165" formatCode="yyyy-mm-dd"/>
    <numFmt numFmtId="166" formatCode="mm/dd/yy"/>
    <numFmt numFmtId="167" formatCode="0.000"/>
  </numFmts>
  <fonts count="6">
    <font>
      <name val="Calibri"/>
      <family val="2"/>
      <color theme="1"/>
      <sz val="11"/>
      <scheme val="minor"/>
    </font>
    <font>
      <b val="1"/>
      <color rgb="001c2b22"/>
      <sz val="14"/>
    </font>
    <font>
      <i val="1"/>
      <color rgb="006b7d72"/>
      <sz val="10"/>
    </font>
    <font>
      <b val="1"/>
      <color rgb="00FFFFFF"/>
      <sz val="11"/>
    </font>
    <font>
      <b val="1"/>
      <color rgb="00006633"/>
    </font>
    <font>
      <b val="1"/>
      <color rgb="001c2b22"/>
    </font>
  </fonts>
  <fills count="3">
    <fill>
      <patternFill/>
    </fill>
    <fill>
      <patternFill patternType="gray125"/>
    </fill>
    <fill>
      <patternFill patternType="solid">
        <fgColor rgb="00006633"/>
      </patternFill>
    </fill>
  </fills>
  <borders count="2">
    <border>
      <left/>
      <right/>
      <top/>
      <bottom/>
      <diagonal/>
    </border>
    <border>
      <bottom style="thin">
        <color rgb="00D4DD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4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Subscriber Growth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'Subscription Growth'!B4</f>
            </strRef>
          </tx>
          <spPr>
            <a:solidFill xmlns:a="http://schemas.openxmlformats.org/drawingml/2006/main">
              <a:srgbClr val="006633"/>
            </a:solidFill>
            <a:ln xmlns:a="http://schemas.openxmlformats.org/drawingml/2006/main">
              <a:prstDash val="solid"/>
            </a:ln>
          </spPr>
          <cat>
            <numRef>
              <f>'Subscription Growth'!$A$5:$A$8</f>
            </numRef>
          </cat>
          <val>
            <numRef>
              <f>'Subscription Growth'!$B$5:$B$8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15O Weekly Units (actual vs linear trend)</a:t>
            </a:r>
          </a:p>
        </rich>
      </tx>
    </title>
    <plotArea>
      <lineChart>
        <grouping val="standard"/>
        <ser>
          <idx val="0"/>
          <order val="0"/>
          <tx>
            <strRef>
              <f>'Walmart 15O Weekly'!C4</f>
            </strRef>
          </tx>
          <spPr>
            <a:ln xmlns:a="http://schemas.openxmlformats.org/drawingml/2006/main" w="28000">
              <a:solidFill>
                <a:srgbClr val="E07A2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'Walmart 15O Weekly'!$A$5:$A$37</f>
            </numRef>
          </cat>
          <val>
            <numRef>
              <f>'Walmart 15O Weekly'!$C$5:$C$37</f>
            </numRef>
          </val>
        </ser>
        <ser>
          <idx val="1"/>
          <order val="1"/>
          <tx>
            <strRef>
              <f>'Walmart 15O Weekly'!E4</f>
            </strRef>
          </tx>
          <spPr>
            <a:ln xmlns:a="http://schemas.openxmlformats.org/drawingml/2006/main">
              <a:solidFill>
                <a:srgbClr val="1c2b2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'Walmart 15O Weekly'!$A$5:$A$37</f>
            </numRef>
          </cat>
          <val>
            <numRef>
              <f>'Walmart 15O Weekly'!$E$5:$E$37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15O Weekly U/S/W (actual vs linear trend)</a:t>
            </a:r>
          </a:p>
        </rich>
      </tx>
    </title>
    <plotArea>
      <lineChart>
        <grouping val="standard"/>
        <ser>
          <idx val="0"/>
          <order val="0"/>
          <tx>
            <strRef>
              <f>'Walmart 15O Weekly'!D4</f>
            </strRef>
          </tx>
          <spPr>
            <a:ln xmlns:a="http://schemas.openxmlformats.org/drawingml/2006/main" w="28000">
              <a:solidFill>
                <a:srgbClr val="0066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'Walmart 15O Weekly'!$A$5:$A$37</f>
            </numRef>
          </cat>
          <val>
            <numRef>
              <f>'Walmart 15O Weekly'!$D$5:$D$37</f>
            </numRef>
          </val>
        </ser>
        <ser>
          <idx val="1"/>
          <order val="1"/>
          <tx>
            <strRef>
              <f>'Walmart 15O Weekly'!F4</f>
            </strRef>
          </tx>
          <spPr>
            <a:ln xmlns:a="http://schemas.openxmlformats.org/drawingml/2006/main">
              <a:solidFill>
                <a:srgbClr val="1c2b2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'Walmart 15O Weekly'!$A$5:$A$37</f>
            </numRef>
          </cat>
          <val>
            <numRef>
              <f>'Walmart 15O Weekly'!$F$5:$F$37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.0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</cols>
  <sheetData>
    <row r="1">
      <c r="A1" s="1" t="inlineStr">
        <is>
          <t>Catalyst Pet — Subscriber Growth by Year</t>
        </is>
      </c>
    </row>
    <row r="2">
      <c r="A2" s="2" t="inlineStr">
        <is>
          <t>Active Shopify DTC subscriptions at year-end (excludes ~7,000 Chewy subscribers)</t>
        </is>
      </c>
    </row>
    <row r="4">
      <c r="A4" s="3" t="inlineStr">
        <is>
          <t>Year</t>
        </is>
      </c>
      <c r="B4" s="3" t="inlineStr">
        <is>
          <t>Year-End Active Subscribers</t>
        </is>
      </c>
      <c r="C4" s="3" t="inlineStr">
        <is>
          <t>YoY Growth %</t>
        </is>
      </c>
    </row>
    <row r="5">
      <c r="A5" s="4" t="n">
        <v>2022</v>
      </c>
      <c r="B5" s="5" t="n">
        <v>1207</v>
      </c>
      <c r="C5" s="4" t="inlineStr"/>
    </row>
    <row r="6">
      <c r="A6" s="4" t="n">
        <v>2023</v>
      </c>
      <c r="B6" s="5" t="n">
        <v>9746</v>
      </c>
      <c r="C6" s="6" t="n">
        <v>7.074565037282518</v>
      </c>
    </row>
    <row r="7">
      <c r="A7" s="4" t="n">
        <v>2024</v>
      </c>
      <c r="B7" s="5" t="n">
        <v>20765</v>
      </c>
      <c r="C7" s="6" t="n">
        <v>1.130617689308434</v>
      </c>
    </row>
    <row r="8">
      <c r="A8" s="4" t="n">
        <v>2025</v>
      </c>
      <c r="B8" s="5" t="n">
        <v>31645</v>
      </c>
      <c r="C8" s="6" t="n">
        <v>0.5239585841560317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0" customWidth="1" min="4" max="4"/>
    <col width="20" customWidth="1" min="5" max="5"/>
    <col width="20" customWidth="1" min="6" max="6"/>
  </cols>
  <sheetData>
    <row r="1">
      <c r="A1" s="1" t="inlineStr">
        <is>
          <t>Walmart — 15 lb Original (CATALYST15ORIG) Weekly Growth</t>
        </is>
      </c>
    </row>
    <row r="2">
      <c r="A2" s="2" t="inlineStr">
        <is>
          <t>In-store units &amp; U/S/W (units per store per week), FY26 weekly, with least-squares linear trend</t>
        </is>
      </c>
    </row>
    <row r="4">
      <c r="A4" s="3" t="inlineStr">
        <is>
          <t>FY Week</t>
        </is>
      </c>
      <c r="B4" s="3" t="inlineStr">
        <is>
          <t>Week-Ending</t>
        </is>
      </c>
      <c r="C4" s="3" t="inlineStr">
        <is>
          <t>Units</t>
        </is>
      </c>
      <c r="D4" s="3" t="inlineStr">
        <is>
          <t>U/S/W</t>
        </is>
      </c>
      <c r="E4" s="3" t="inlineStr">
        <is>
          <t>Units (Linear Trend)</t>
        </is>
      </c>
      <c r="F4" s="3" t="inlineStr">
        <is>
          <t>U/S/W (Linear Trend)</t>
        </is>
      </c>
    </row>
    <row r="5">
      <c r="A5" s="4" t="n">
        <v>1</v>
      </c>
      <c r="B5" s="7" t="n">
        <v>46059</v>
      </c>
      <c r="C5" s="5" t="n">
        <v>835</v>
      </c>
      <c r="D5" s="8" t="n">
        <v>0.238</v>
      </c>
      <c r="E5" s="5" t="n">
        <v>1185.6</v>
      </c>
      <c r="F5" s="8" t="n">
        <v>0.3518</v>
      </c>
    </row>
    <row r="6">
      <c r="A6" s="4" t="n">
        <v>2</v>
      </c>
      <c r="B6" s="7" t="n">
        <v>46066</v>
      </c>
      <c r="C6" s="5" t="n">
        <v>1370</v>
      </c>
      <c r="D6" s="8" t="n">
        <v>0.3903</v>
      </c>
      <c r="E6" s="5" t="n">
        <v>1441.5</v>
      </c>
      <c r="F6" s="8" t="n">
        <v>0.4221</v>
      </c>
    </row>
    <row r="7">
      <c r="A7" s="4" t="n">
        <v>3</v>
      </c>
      <c r="B7" s="7" t="n">
        <v>46073</v>
      </c>
      <c r="C7" s="5" t="n">
        <v>1623</v>
      </c>
      <c r="D7" s="8" t="n">
        <v>0.4613</v>
      </c>
      <c r="E7" s="5" t="n">
        <v>1697.4</v>
      </c>
      <c r="F7" s="8" t="n">
        <v>0.4924</v>
      </c>
    </row>
    <row r="8">
      <c r="A8" s="4" t="n">
        <v>4</v>
      </c>
      <c r="B8" s="7" t="n">
        <v>46080</v>
      </c>
      <c r="C8" s="5" t="n">
        <v>2373</v>
      </c>
      <c r="D8" s="8" t="n">
        <v>0.6749000000000001</v>
      </c>
      <c r="E8" s="5" t="n">
        <v>1953.3</v>
      </c>
      <c r="F8" s="8" t="n">
        <v>0.5627</v>
      </c>
    </row>
    <row r="9">
      <c r="A9" s="4" t="n">
        <v>5</v>
      </c>
      <c r="B9" s="7" t="n">
        <v>46087</v>
      </c>
      <c r="C9" s="5" t="n">
        <v>3103</v>
      </c>
      <c r="D9" s="8" t="n">
        <v>0.882</v>
      </c>
      <c r="E9" s="5" t="n">
        <v>2209.2</v>
      </c>
      <c r="F9" s="8" t="n">
        <v>0.633</v>
      </c>
    </row>
    <row r="10">
      <c r="A10" s="4" t="n">
        <v>6</v>
      </c>
      <c r="B10" s="7" t="n">
        <v>46094</v>
      </c>
      <c r="C10" s="5" t="n">
        <v>3298</v>
      </c>
      <c r="D10" s="8" t="n">
        <v>0.9372</v>
      </c>
      <c r="E10" s="5" t="n">
        <v>2465.1</v>
      </c>
      <c r="F10" s="8" t="n">
        <v>0.7033</v>
      </c>
    </row>
    <row r="11">
      <c r="A11" s="4" t="n">
        <v>7</v>
      </c>
      <c r="B11" s="7" t="n">
        <v>46101</v>
      </c>
      <c r="C11" s="5" t="n">
        <v>3108</v>
      </c>
      <c r="D11" s="8" t="n">
        <v>0.883</v>
      </c>
      <c r="E11" s="5" t="n">
        <v>2721</v>
      </c>
      <c r="F11" s="8" t="n">
        <v>0.7736</v>
      </c>
    </row>
    <row r="12">
      <c r="A12" s="4" t="n">
        <v>8</v>
      </c>
      <c r="B12" s="7" t="n">
        <v>46108</v>
      </c>
      <c r="C12" s="5" t="n">
        <v>3265</v>
      </c>
      <c r="D12" s="8" t="n">
        <v>0.926</v>
      </c>
      <c r="E12" s="5" t="n">
        <v>2976.8</v>
      </c>
      <c r="F12" s="8" t="n">
        <v>0.8439</v>
      </c>
    </row>
    <row r="13">
      <c r="A13" s="4" t="n">
        <v>9</v>
      </c>
      <c r="B13" s="7" t="n">
        <v>46115</v>
      </c>
      <c r="C13" s="5" t="n">
        <v>3487</v>
      </c>
      <c r="D13" s="8" t="n">
        <v>0.9887</v>
      </c>
      <c r="E13" s="5" t="n">
        <v>3232.7</v>
      </c>
      <c r="F13" s="8" t="n">
        <v>0.9142</v>
      </c>
    </row>
    <row r="14">
      <c r="A14" s="4" t="n">
        <v>10</v>
      </c>
      <c r="B14" s="7" t="n">
        <v>46122</v>
      </c>
      <c r="C14" s="5" t="n">
        <v>3830</v>
      </c>
      <c r="D14" s="8" t="n">
        <v>1.0838</v>
      </c>
      <c r="E14" s="5" t="n">
        <v>3488.6</v>
      </c>
      <c r="F14" s="8" t="n">
        <v>0.9845</v>
      </c>
    </row>
    <row r="15">
      <c r="A15" s="4" t="n">
        <v>11</v>
      </c>
      <c r="B15" s="7" t="n">
        <v>46129</v>
      </c>
      <c r="C15" s="5" t="n">
        <v>4172</v>
      </c>
      <c r="D15" s="8" t="n">
        <v>1.1782</v>
      </c>
      <c r="E15" s="5" t="n">
        <v>3744.5</v>
      </c>
      <c r="F15" s="8" t="n">
        <v>1.0548</v>
      </c>
    </row>
    <row r="16">
      <c r="A16" s="4" t="n">
        <v>12</v>
      </c>
      <c r="B16" s="7" t="n">
        <v>46136</v>
      </c>
      <c r="C16" s="5" t="n">
        <v>4385</v>
      </c>
      <c r="D16" s="8" t="n">
        <v>1.2391</v>
      </c>
      <c r="E16" s="5" t="n">
        <v>4000.4</v>
      </c>
      <c r="F16" s="8" t="n">
        <v>1.1251</v>
      </c>
    </row>
    <row r="17">
      <c r="A17" s="4" t="n">
        <v>13</v>
      </c>
      <c r="B17" s="7" t="n">
        <v>46143</v>
      </c>
      <c r="C17" s="5" t="n">
        <v>4150</v>
      </c>
      <c r="D17" s="8" t="n">
        <v>1.1713</v>
      </c>
      <c r="E17" s="5" t="n">
        <v>4256.3</v>
      </c>
      <c r="F17" s="8" t="n">
        <v>1.1954</v>
      </c>
    </row>
    <row r="18">
      <c r="A18" s="4" t="n">
        <v>14</v>
      </c>
      <c r="B18" s="7" t="n">
        <v>46150</v>
      </c>
      <c r="C18" s="5" t="n">
        <v>4255</v>
      </c>
      <c r="D18" s="8" t="n">
        <v>1.1996</v>
      </c>
      <c r="E18" s="5" t="n">
        <v>4512.2</v>
      </c>
      <c r="F18" s="8" t="n">
        <v>1.2657</v>
      </c>
    </row>
    <row r="19">
      <c r="A19" s="4" t="n">
        <v>15</v>
      </c>
      <c r="B19" s="7" t="n">
        <v>46157</v>
      </c>
      <c r="C19" s="5" t="n">
        <v>4588</v>
      </c>
      <c r="D19" s="8" t="n">
        <v>1.2939</v>
      </c>
      <c r="E19" s="5" t="n">
        <v>4768</v>
      </c>
      <c r="F19" s="8" t="n">
        <v>1.336</v>
      </c>
    </row>
    <row r="20">
      <c r="A20" s="4" t="n">
        <v>16</v>
      </c>
      <c r="B20" s="7" t="n">
        <v>46164</v>
      </c>
      <c r="C20" s="5" t="n">
        <v>4888</v>
      </c>
      <c r="D20" s="8" t="n">
        <v>1.373</v>
      </c>
      <c r="E20" s="5" t="n">
        <v>5023.9</v>
      </c>
      <c r="F20" s="8" t="n">
        <v>1.4063</v>
      </c>
    </row>
    <row r="21">
      <c r="A21" s="4" t="n">
        <v>17</v>
      </c>
      <c r="B21" s="7" t="n">
        <v>46171</v>
      </c>
      <c r="C21" s="5" t="n">
        <v>4911</v>
      </c>
      <c r="D21" s="8" t="n">
        <v>1.3795</v>
      </c>
      <c r="E21" s="5" t="n">
        <v>5279.8</v>
      </c>
      <c r="F21" s="8" t="n">
        <v>1.4766</v>
      </c>
    </row>
    <row r="22">
      <c r="A22" s="4" t="n">
        <v>18</v>
      </c>
      <c r="B22" s="7" t="n">
        <v>46178</v>
      </c>
      <c r="C22" s="5" t="n">
        <v>5140</v>
      </c>
      <c r="D22" s="8" t="n">
        <v>1.443</v>
      </c>
      <c r="E22" s="5" t="n">
        <v>5535.7</v>
      </c>
      <c r="F22" s="8" t="n">
        <v>1.5469</v>
      </c>
    </row>
    <row r="23">
      <c r="A23" s="4" t="n">
        <v>19</v>
      </c>
      <c r="B23" s="7" t="n">
        <v>46185</v>
      </c>
      <c r="C23" s="5" t="n">
        <v>5044</v>
      </c>
      <c r="D23" s="8" t="n">
        <v>1.4149</v>
      </c>
      <c r="E23" s="5" t="n">
        <v>5791.6</v>
      </c>
      <c r="F23" s="8" t="n">
        <v>1.6172</v>
      </c>
    </row>
    <row r="24">
      <c r="A24" s="4" t="n">
        <v>20</v>
      </c>
      <c r="B24" s="7" t="n">
        <v>46192</v>
      </c>
      <c r="C24" s="5" t="n">
        <v>4994</v>
      </c>
      <c r="D24" s="8" t="n">
        <v>1.4008</v>
      </c>
      <c r="E24" s="5" t="n">
        <v>6047.5</v>
      </c>
      <c r="F24" s="8" t="n">
        <v>1.6875</v>
      </c>
    </row>
    <row r="25">
      <c r="A25" s="4" t="n">
        <v>21</v>
      </c>
      <c r="B25" s="7" t="n">
        <v>46199</v>
      </c>
      <c r="C25" s="5" t="n">
        <v>4864</v>
      </c>
      <c r="D25" s="8" t="n">
        <v>1.3632</v>
      </c>
      <c r="E25" s="5" t="n">
        <v>6303.4</v>
      </c>
      <c r="F25" s="8" t="n">
        <v>1.7578</v>
      </c>
    </row>
    <row r="26">
      <c r="A26" s="4" t="n">
        <v>22</v>
      </c>
      <c r="B26" s="7" t="n">
        <v>46206</v>
      </c>
      <c r="C26" s="5" t="n">
        <v>5761</v>
      </c>
      <c r="D26" s="8" t="n">
        <v>1.6101</v>
      </c>
      <c r="E26" s="5" t="n">
        <v>6559.3</v>
      </c>
      <c r="F26" s="8" t="n">
        <v>1.8281</v>
      </c>
    </row>
    <row r="27">
      <c r="A27" s="4" t="n">
        <v>23</v>
      </c>
      <c r="B27" s="7" t="n">
        <v>46213</v>
      </c>
      <c r="C27" s="5" t="n">
        <v>5089</v>
      </c>
      <c r="D27" s="8" t="n">
        <v>1.4195</v>
      </c>
      <c r="E27" s="5" t="n">
        <v>6815.1</v>
      </c>
      <c r="F27" s="8" t="n">
        <v>1.8984</v>
      </c>
    </row>
    <row r="28">
      <c r="A28" s="4" t="n">
        <v>24</v>
      </c>
      <c r="B28" s="7" t="n">
        <v>46220</v>
      </c>
      <c r="C28" s="5" t="n">
        <v>6801</v>
      </c>
      <c r="D28" s="8" t="n">
        <v>1.8934</v>
      </c>
      <c r="E28" s="5" t="n">
        <v>7071</v>
      </c>
      <c r="F28" s="8" t="n">
        <v>1.9687</v>
      </c>
    </row>
    <row r="29">
      <c r="A29" s="4" t="n">
        <v>25</v>
      </c>
      <c r="B29" s="7" t="n">
        <v>46227</v>
      </c>
      <c r="C29" s="5" t="n">
        <v>7585</v>
      </c>
      <c r="D29" s="8" t="n">
        <v>2.1075</v>
      </c>
      <c r="E29" s="5" t="n">
        <v>7326.9</v>
      </c>
      <c r="F29" s="8" t="n">
        <v>2.039</v>
      </c>
    </row>
    <row r="30">
      <c r="A30" s="4" t="n">
        <v>26</v>
      </c>
      <c r="B30" s="7" t="n">
        <v>46234</v>
      </c>
      <c r="C30" s="5" t="n">
        <v>6601</v>
      </c>
      <c r="D30" s="8" t="n">
        <v>1.8336</v>
      </c>
      <c r="E30" s="5" t="n">
        <v>7582.8</v>
      </c>
      <c r="F30" s="8" t="n">
        <v>2.1093</v>
      </c>
    </row>
    <row r="31">
      <c r="A31" s="4" t="n">
        <v>27</v>
      </c>
      <c r="B31" s="7" t="n">
        <v>46241</v>
      </c>
      <c r="C31" s="5" t="n">
        <v>6902</v>
      </c>
      <c r="D31" s="8" t="n">
        <v>1.913</v>
      </c>
      <c r="E31" s="5" t="n">
        <v>7838.7</v>
      </c>
      <c r="F31" s="8" t="n">
        <v>2.1796</v>
      </c>
    </row>
    <row r="32">
      <c r="A32" s="4" t="n">
        <v>28</v>
      </c>
      <c r="B32" s="7" t="n">
        <v>46248</v>
      </c>
      <c r="C32" s="5" t="n">
        <v>8494</v>
      </c>
      <c r="D32" s="8" t="n">
        <v>2.3549</v>
      </c>
      <c r="E32" s="5" t="n">
        <v>8094.6</v>
      </c>
      <c r="F32" s="8" t="n">
        <v>2.2499</v>
      </c>
    </row>
    <row r="33">
      <c r="A33" s="4" t="n">
        <v>29</v>
      </c>
      <c r="B33" s="7" t="n">
        <v>46255</v>
      </c>
      <c r="C33" s="5" t="n">
        <v>9268</v>
      </c>
      <c r="D33" s="8" t="n">
        <v>2.5694</v>
      </c>
      <c r="E33" s="5" t="n">
        <v>8350.5</v>
      </c>
      <c r="F33" s="8" t="n">
        <v>2.3202</v>
      </c>
    </row>
    <row r="34">
      <c r="A34" s="4" t="n">
        <v>30</v>
      </c>
      <c r="B34" s="7" t="n">
        <v>46262</v>
      </c>
      <c r="C34" s="5" t="n">
        <v>9613</v>
      </c>
      <c r="D34" s="8" t="n">
        <v>2.6693</v>
      </c>
      <c r="E34" s="5" t="n">
        <v>8606.299999999999</v>
      </c>
      <c r="F34" s="8" t="n">
        <v>2.3905</v>
      </c>
    </row>
    <row r="35">
      <c r="A35" s="4" t="n">
        <v>31</v>
      </c>
      <c r="B35" s="7" t="n">
        <v>46269</v>
      </c>
      <c r="C35" s="5" t="n">
        <v>10112</v>
      </c>
      <c r="D35" s="8" t="n">
        <v>2.8019</v>
      </c>
      <c r="E35" s="5" t="n">
        <v>8862.200000000001</v>
      </c>
      <c r="F35" s="8" t="n">
        <v>2.4608</v>
      </c>
    </row>
    <row r="36">
      <c r="A36" s="4" t="n">
        <v>32</v>
      </c>
      <c r="B36" s="7" t="n">
        <v>46276</v>
      </c>
      <c r="C36" s="5" t="n">
        <v>9943</v>
      </c>
      <c r="D36" s="8" t="n">
        <v>2.7551</v>
      </c>
      <c r="E36" s="5" t="n">
        <v>9118.1</v>
      </c>
      <c r="F36" s="8" t="n">
        <v>2.531</v>
      </c>
    </row>
    <row r="37">
      <c r="A37" s="4" t="n">
        <v>33</v>
      </c>
      <c r="B37" s="7" t="n">
        <v>46283</v>
      </c>
      <c r="C37" s="5" t="n">
        <v>10382</v>
      </c>
      <c r="D37" s="8" t="n">
        <v>2.8783</v>
      </c>
      <c r="E37" s="5" t="n">
        <v>9374</v>
      </c>
      <c r="F37" s="8" t="n">
        <v>2.6013</v>
      </c>
    </row>
    <row r="39">
      <c r="A39" s="9" t="inlineStr">
        <is>
          <t>Linear weekly growth:</t>
        </is>
      </c>
      <c r="C39" s="10" t="inlineStr">
        <is>
          <t>+256 units/wk</t>
        </is>
      </c>
      <c r="D39" s="10" t="inlineStr">
        <is>
          <t>+0.070 U/S/W per wk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2026-09-22T14:49:39Z</dcterms:created>
  <dcterms:modified xmlns:dcterms="http://purl.org/dc/terms/" xmlns:xsi="http://www.w3.org/2001/XMLSchema-instance" xsi:type="dcterms:W3CDTF">2026-09-22T14:49:39Z</dcterms:modified>
</cp:coreProperties>
</file>